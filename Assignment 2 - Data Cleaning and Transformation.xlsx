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C:\Users\Bharath\Downloads\"/>
    </mc:Choice>
  </mc:AlternateContent>
  <xr:revisionPtr revIDLastSave="0" documentId="13_ncr:1_{3F6E1397-B1AA-4285-9208-DFA836FDEFDE}" xr6:coauthVersionLast="45" xr6:coauthVersionMax="45" xr10:uidLastSave="{00000000-0000-0000-0000-000000000000}"/>
  <bookViews>
    <workbookView xWindow="-120" yWindow="-120" windowWidth="20730" windowHeight="11160" activeTab="2" xr2:uid="{00000000-000D-0000-FFFF-FFFF00000000}"/>
  </bookViews>
  <sheets>
    <sheet name="Raw Dataset" sheetId="2" r:id="rId1"/>
    <sheet name="Assignment 2" sheetId="3" r:id="rId2"/>
    <sheet name="Power Query" sheetId="4" r:id="rId3"/>
  </sheets>
  <definedNames>
    <definedName name="_xlnm._FilterDatabase" localSheetId="1" hidden="1">'Assignment 2'!$A$1:$H$35</definedName>
    <definedName name="ExternalData_1" localSheetId="2" hidden="1">'Power Query'!$A$1:$H$32</definedName>
  </definedNames>
  <calcPr calcId="191029"/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2" i="3"/>
  <c r="E23" i="3"/>
  <c r="E24" i="3"/>
  <c r="E25" i="3"/>
  <c r="E26" i="3"/>
  <c r="E28" i="3"/>
  <c r="E29" i="3"/>
  <c r="E30" i="3"/>
  <c r="E31" i="3"/>
  <c r="E32" i="3"/>
  <c r="E33" i="3"/>
  <c r="E34" i="3"/>
  <c r="E35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E27" i="3" l="1"/>
  <c r="E7" i="3"/>
  <c r="E2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21712E-003D-4ED7-B5E9-435D24CED5D6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<sst xmlns="http://schemas.openxmlformats.org/spreadsheetml/2006/main" count="441" uniqueCount="146">
  <si>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</si>
  <si>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</si>
  <si>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</si>
  <si>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</si>
  <si>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</si>
  <si>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</si>
  <si>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</si>
  <si>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</si>
  <si>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</si>
  <si>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</si>
  <si>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</si>
  <si>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</si>
  <si>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</si>
  <si>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</si>
  <si>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</si>
  <si>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</si>
  <si>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</si>
  <si>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</si>
  <si>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</si>
  <si>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</si>
  <si>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</si>
  <si>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</si>
  <si>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</si>
  <si>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</si>
  <si>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</si>
  <si>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</si>
  <si>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</si>
  <si>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</si>
  <si>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</si>
  <si>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</si>
  <si>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</si>
  <si>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</si>
  <si>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</si>
  <si>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</si>
  <si>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</si>
  <si>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</si>
  <si>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</si>
  <si>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</si>
  <si>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</si>
  <si>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</si>
  <si>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</si>
  <si>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</si>
  <si>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</si>
  <si>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</si>
  <si>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</si>
  <si>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</si>
  <si>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</si>
  <si>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</si>
  <si>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</si>
  <si>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</si>
  <si>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</si>
  <si>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</si>
  <si>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</si>
  <si>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</si>
  <si>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</si>
  <si>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</si>
  <si>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</si>
  <si>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</si>
  <si>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</si>
  <si>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</si>
  <si>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</si>
  <si>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</si>
  <si>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</si>
  <si>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</si>
  <si>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</si>
  <si>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</si>
  <si>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</si>
  <si>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</si>
  <si>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</si>
  <si>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</si>
  <si>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</si>
  <si>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</si>
  <si>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</si>
  <si>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</si>
  <si>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</si>
  <si>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</si>
  <si>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</si>
  <si>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</si>
  <si>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</si>
  <si>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</si>
  <si>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</si>
  <si>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</si>
  <si>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</si>
  <si>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</si>
  <si>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</si>
  <si>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</si>
  <si>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</si>
  <si>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</si>
  <si>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</si>
  <si>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</si>
  <si>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</si>
  <si>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</si>
  <si>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</si>
  <si>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</si>
  <si>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</si>
  <si>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</si>
  <si>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</si>
  <si>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Category2</t>
  </si>
  <si>
    <t>Price ($)2</t>
  </si>
  <si>
    <t>Manufacturing Date</t>
  </si>
  <si>
    <t>Country Code</t>
  </si>
  <si>
    <t>Product Brand</t>
  </si>
  <si>
    <t>US</t>
  </si>
  <si>
    <t>Dell Laptop</t>
  </si>
  <si>
    <t>Nike Sneakers</t>
  </si>
  <si>
    <t>Keurig Coffee Maker</t>
  </si>
  <si>
    <t>Samsung Smartphone</t>
  </si>
  <si>
    <t>Unknown</t>
  </si>
  <si>
    <t>North Face Backpack</t>
  </si>
  <si>
    <t>UK</t>
  </si>
  <si>
    <t>Sony Headphones</t>
  </si>
  <si>
    <t>Adidas T-Shirt</t>
  </si>
  <si>
    <t>Ninja Blender</t>
  </si>
  <si>
    <t>Apple Tablet</t>
  </si>
  <si>
    <t>Timberland Hiking Boots</t>
  </si>
  <si>
    <t>IN</t>
  </si>
  <si>
    <t>Hp Laptop</t>
  </si>
  <si>
    <t>AU</t>
  </si>
  <si>
    <t>Adidas Sneakers</t>
  </si>
  <si>
    <t>DE</t>
  </si>
  <si>
    <t>Nespresso Coffee Maker</t>
  </si>
  <si>
    <t>CA</t>
  </si>
  <si>
    <t>Fitbit Smartwatch</t>
  </si>
  <si>
    <t>ES</t>
  </si>
  <si>
    <t>Bose Headphones</t>
  </si>
  <si>
    <t>Samsonite Laptop Bag</t>
  </si>
  <si>
    <t>CN</t>
  </si>
  <si>
    <t>Huawei Smartwatch</t>
  </si>
  <si>
    <t>IT</t>
  </si>
  <si>
    <t>Asus Laptop</t>
  </si>
  <si>
    <t>Oakley Sunglasses</t>
  </si>
  <si>
    <t>Coleman Camping Tent</t>
  </si>
  <si>
    <t>RU</t>
  </si>
  <si>
    <t>Nikon Camera</t>
  </si>
  <si>
    <t>Panasonic Microwave</t>
  </si>
  <si>
    <t>BR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</si>
  <si>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</si>
  <si>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</si>
  <si>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</si>
  <si>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</si>
  <si>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</si>
  <si>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</si>
  <si>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</si>
  <si>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</si>
  <si>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FR</t>
  </si>
  <si>
    <t>Casio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</si>
</sst>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409]#,##0.00"/>
  </numFmts>
  <fonts count="6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0"/>
      <color rgb="FF000000"/>
      <name val="Arial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2" fillId="0" borderId="1" xfId="0" applyFont="1" applyBorder="1"/>
    <xf numFmtId="0" fontId="2" fillId="3" borderId="1" xfId="0" applyFont="1" applyFill="1" applyBorder="1"/>
    <xf numFmtId="0" fontId="2" fillId="0" borderId="2" xfId="0" applyFont="1" applyBorder="1"/>
    <xf numFmtId="0" fontId="2" fillId="3" borderId="2" xfId="0" applyFont="1" applyFill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3" borderId="7" xfId="0" applyFont="1" applyFill="1" applyBorder="1"/>
    <xf numFmtId="0" fontId="2" fillId="3" borderId="8" xfId="0" applyFont="1" applyFill="1" applyBorder="1"/>
    <xf numFmtId="1" fontId="2" fillId="3" borderId="1" xfId="0" applyNumberFormat="1" applyFont="1" applyFill="1" applyBorder="1"/>
    <xf numFmtId="0" fontId="0" fillId="0" borderId="1" xfId="0" applyNumberFormat="1" applyFont="1" applyBorder="1" applyAlignment="1"/>
    <xf numFmtId="0" fontId="0" fillId="0" borderId="1" xfId="0" applyFont="1" applyBorder="1" applyAlignment="1"/>
    <xf numFmtId="0" fontId="0" fillId="0" borderId="3" xfId="0" applyNumberFormat="1" applyFont="1" applyBorder="1" applyAlignment="1"/>
    <xf numFmtId="0" fontId="0" fillId="0" borderId="8" xfId="0" applyNumberFormat="1" applyFont="1" applyBorder="1" applyAlignment="1"/>
    <xf numFmtId="0" fontId="0" fillId="0" borderId="8" xfId="0" applyFont="1" applyBorder="1" applyAlignment="1"/>
    <xf numFmtId="0" fontId="0" fillId="0" borderId="9" xfId="0" applyNumberFormat="1" applyFont="1" applyBorder="1" applyAlignment="1"/>
    <xf numFmtId="0" fontId="0" fillId="0" borderId="4" xfId="0" applyFont="1" applyBorder="1" applyAlignment="1">
      <alignment horizontal="center"/>
    </xf>
    <xf numFmtId="14" fontId="0" fillId="0" borderId="2" xfId="0" applyNumberFormat="1" applyFont="1" applyBorder="1" applyAlignment="1">
      <alignment horizontal="center"/>
    </xf>
    <xf numFmtId="14" fontId="0" fillId="0" borderId="7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0" borderId="8" xfId="0" applyNumberFormat="1" applyFont="1" applyBorder="1" applyAlignment="1">
      <alignment horizontal="center"/>
    </xf>
    <xf numFmtId="164" fontId="0" fillId="0" borderId="1" xfId="0" applyNumberFormat="1" applyFont="1" applyBorder="1" applyAlignment="1"/>
    <xf numFmtId="164" fontId="0" fillId="0" borderId="8" xfId="0" applyNumberFormat="1" applyFont="1" applyBorder="1" applyAlignment="1"/>
    <xf numFmtId="164" fontId="0" fillId="0" borderId="0" xfId="0" applyNumberFormat="1" applyFont="1" applyAlignment="1"/>
    <xf numFmtId="164" fontId="0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[$$-4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34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34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34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E0F7FA"/>
          <bgColor rgb="FFE0F7FA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34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2"/>
      <tableStyleElement type="headerRow" dxfId="41"/>
      <tableStyleElement type="totalRow" dxfId="40"/>
      <tableStyleElement type="firstColumn" dxfId="39"/>
      <tableStyleElement type="lastColumn" dxfId="38"/>
      <tableStyleElement type="firstRowStripe" dxfId="37"/>
      <tableStyleElement type="firstColumnStripe" dxfId="36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2F3A2C-89CE-42EA-9ACE-77874FF5B51B}" autoFormatId="16" applyNumberFormats="0" applyBorderFormats="0" applyFontFormats="0" applyPatternFormats="0" applyAlignmentFormats="0" applyWidthHeightFormats="0">
  <queryTableRefresh nextId="9">
    <queryTableFields count="8">
      <queryTableField id="1" name="Manufacturing Date" tableColumnId="1"/>
      <queryTableField id="2" name="Country Code" tableColumnId="2"/>
      <queryTableField id="3" name="Product Name" tableColumnId="3"/>
      <queryTableField id="4" name="Brand Name" tableColumnId="4"/>
      <queryTableField id="5" name="Price ($)2" tableColumnId="5"/>
      <queryTableField id="6" name="Quantity" tableColumnId="6"/>
      <queryTableField id="7" name="Category2" tableColumnId="7"/>
      <queryTableField id="8" name="Product Brand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893071-3859-42A2-8AC8-2816F4B25502}" name="Table1" displayName="Table1" ref="A1:H35" totalsRowShown="0" headerRowDxfId="25" dataDxfId="23" headerRowBorderDxfId="24" tableBorderDxfId="22" totalsRowBorderDxfId="21">
  <autoFilter ref="A1:H35" xr:uid="{BBBB6D26-2BCE-49DF-AB66-0329B3379F88}"/>
  <tableColumns count="8">
    <tableColumn id="1" xr3:uid="{4C339CB9-79A3-4A66-95C6-9831A3BAFA5B}" name="Product ID" dataDxfId="20"/>
    <tableColumn id="2" xr3:uid="{8798FDF9-6567-4A6F-8C01-14754AC755D9}" name="Product Name" dataDxfId="19"/>
    <tableColumn id="3" xr3:uid="{3D6F371E-1F0F-42F6-8705-3E4F96E20A2D}" name="Brand Name" dataDxfId="18"/>
    <tableColumn id="4" xr3:uid="{E51D015C-7810-403E-BB8C-BC391B4F3C2A}" name="Price ($)" dataDxfId="17"/>
    <tableColumn id="8" xr3:uid="{E4AAC926-C456-4F13-8E26-F4580A675479}" name="Price ($)2" dataDxfId="16">
      <calculatedColumnFormula>IF(ISBLANK(D2),AVERAGEIF($H$2:$H$35,H2,D$2:D$35),D2)</calculatedColumnFormula>
    </tableColumn>
    <tableColumn id="5" xr3:uid="{4EB648BF-07E7-45A7-ADA3-46505D0218C3}" name="Quantity" dataDxfId="15"/>
    <tableColumn id="6" xr3:uid="{F3A11B1D-DC1C-41FA-AF7E-BD2C1DA74481}" name="Category" dataDxfId="14"/>
    <tableColumn id="7" xr3:uid="{A78775BC-B3D0-4579-9B18-DD78CAE6EAA5}" name="Category2" dataDxfId="13">
      <calculatedColumnFormula>IF(ISBLANK(G2),"Unknown",G2)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385898-1605-4619-B062-ED16D1E03BAF}" name="Table1_2" displayName="Table1_2" ref="A1:H32" tableType="queryTable" totalsRowShown="0" headerRowDxfId="11" headerRowBorderDxfId="10" tableBorderDxfId="9" totalsRowBorderDxfId="8">
  <tableColumns count="8">
    <tableColumn id="1" xr3:uid="{6C7D99A3-41B1-481B-9BFF-E191C5A1735A}" uniqueName="1" name="Manufacturing Date" queryTableFieldId="1" dataDxfId="7"/>
    <tableColumn id="2" xr3:uid="{C4C7CEB9-B96B-41AD-B10F-C6AFFA3C36E3}" uniqueName="2" name="Country Code" queryTableFieldId="2" dataDxfId="6"/>
    <tableColumn id="3" xr3:uid="{AFA51678-246C-4D6E-BC53-797A1777E87F}" uniqueName="3" name="Product Name" queryTableFieldId="3" dataDxfId="5"/>
    <tableColumn id="4" xr3:uid="{C73CCCB2-7C98-4890-A640-BB7782B8A65B}" uniqueName="4" name="Brand Name" queryTableFieldId="4" dataDxfId="4"/>
    <tableColumn id="5" xr3:uid="{0D32F06B-89FE-42CB-8F6D-4EBE3C8EF40A}" uniqueName="5" name="Price ($)" queryTableFieldId="5" dataDxfId="3"/>
    <tableColumn id="6" xr3:uid="{283B8178-EB8B-4935-9144-E1AF1A7DB2F9}" uniqueName="6" name="Quantity" queryTableFieldId="6" dataDxfId="2"/>
    <tableColumn id="7" xr3:uid="{E65493A5-5A54-4E5C-B79D-9C864FC3AEEC}" uniqueName="7" name="Category" queryTableFieldId="7" dataDxfId="1"/>
    <tableColumn id="8" xr3:uid="{C149DB87-73A6-4019-BBDB-B32DBDE02980}" uniqueName="8" name="Product Brand" queryTableFieldId="8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activeCell="L13" sqref="L13"/>
    </sheetView>
  </sheetViews>
  <sheetFormatPr defaultColWidth="12.5703125" defaultRowHeight="15" customHeight="1"/>
  <cols>
    <col min="1" max="6" width="12.57031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5"/>
      <c r="K3" s="5"/>
      <c r="L3" s="5"/>
      <c r="M3" s="5"/>
      <c r="N3" s="5"/>
      <c r="O3" s="5"/>
      <c r="P3" s="5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5"/>
      <c r="J4" s="6"/>
      <c r="K4" s="5"/>
      <c r="L4" s="5"/>
      <c r="M4" s="5"/>
      <c r="N4" s="5"/>
      <c r="O4" s="5"/>
      <c r="P4" s="5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5"/>
      <c r="J5" s="6"/>
      <c r="K5" s="5"/>
      <c r="L5" s="5"/>
      <c r="M5" s="5"/>
      <c r="N5" s="5"/>
      <c r="O5" s="5"/>
      <c r="P5" s="5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5A021-E741-41A3-84CB-705C99323D95}">
  <sheetPr>
    <outlinePr summaryBelow="0" summaryRight="0"/>
  </sheetPr>
  <dimension ref="A1:R1000"/>
  <sheetViews>
    <sheetView workbookViewId="0">
      <selection activeCell="J18" sqref="J18"/>
    </sheetView>
  </sheetViews>
  <sheetFormatPr defaultColWidth="12.5703125" defaultRowHeight="15" customHeight="1"/>
  <cols>
    <col min="1" max="1" width="15" bestFit="1" customWidth="1"/>
    <col min="2" max="2" width="18.5703125" bestFit="1" customWidth="1"/>
    <col min="3" max="3" width="16.85546875" bestFit="1" customWidth="1"/>
    <col min="4" max="4" width="13" bestFit="1" customWidth="1"/>
    <col min="5" max="5" width="14" bestFit="1" customWidth="1"/>
    <col min="6" max="6" width="13.140625" bestFit="1" customWidth="1"/>
    <col min="7" max="7" width="13.7109375" bestFit="1" customWidth="1"/>
    <col min="8" max="8" width="14.7109375" bestFit="1" customWidth="1"/>
  </cols>
  <sheetData>
    <row r="1" spans="1:18" ht="15.75" customHeigh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98</v>
      </c>
      <c r="F1" s="13" t="s">
        <v>4</v>
      </c>
      <c r="G1" s="13" t="s">
        <v>5</v>
      </c>
      <c r="H1" s="14" t="s">
        <v>97</v>
      </c>
    </row>
    <row r="2" spans="1:18" ht="15.75" customHeight="1">
      <c r="A2" s="9" t="s">
        <v>6</v>
      </c>
      <c r="B2" s="7" t="s">
        <v>7</v>
      </c>
      <c r="C2" s="7" t="s">
        <v>8</v>
      </c>
      <c r="D2" s="7">
        <v>1000</v>
      </c>
      <c r="E2" s="7">
        <f t="shared" ref="E2:E35" si="0">IF(ISBLANK(D2),AVERAGEIF($H$2:$H$35,H2,D$2:D$35),D2)</f>
        <v>1000</v>
      </c>
      <c r="F2" s="7">
        <v>30</v>
      </c>
      <c r="G2" s="7" t="s">
        <v>9</v>
      </c>
      <c r="H2" s="11" t="str">
        <f>IF(ISBLANK(G2),"Unknown",G2)</f>
        <v>Electronics</v>
      </c>
    </row>
    <row r="3" spans="1:18" ht="15.75" customHeight="1">
      <c r="A3" s="10" t="s">
        <v>10</v>
      </c>
      <c r="B3" s="8" t="s">
        <v>11</v>
      </c>
      <c r="C3" s="8" t="s">
        <v>12</v>
      </c>
      <c r="D3" s="8">
        <v>80</v>
      </c>
      <c r="E3" s="8">
        <f t="shared" si="0"/>
        <v>80</v>
      </c>
      <c r="F3" s="8">
        <v>15</v>
      </c>
      <c r="G3" s="8" t="s">
        <v>13</v>
      </c>
      <c r="H3" s="11" t="str">
        <f t="shared" ref="H3:H35" si="1">IF(ISBLANK(G3),"Unknown",G3)</f>
        <v>Fashion</v>
      </c>
      <c r="K3" s="4"/>
      <c r="L3" s="5"/>
      <c r="M3" s="5"/>
      <c r="N3" s="5"/>
      <c r="O3" s="5"/>
      <c r="P3" s="5"/>
      <c r="Q3" s="5"/>
      <c r="R3" s="5"/>
    </row>
    <row r="4" spans="1:18" ht="15.75" customHeight="1">
      <c r="A4" s="9" t="s">
        <v>14</v>
      </c>
      <c r="B4" s="7" t="s">
        <v>15</v>
      </c>
      <c r="C4" s="7" t="s">
        <v>16</v>
      </c>
      <c r="D4" s="7">
        <v>130</v>
      </c>
      <c r="E4" s="7">
        <f t="shared" si="0"/>
        <v>130</v>
      </c>
      <c r="F4" s="7">
        <v>40</v>
      </c>
      <c r="G4" s="7" t="s">
        <v>17</v>
      </c>
      <c r="H4" s="11" t="str">
        <f t="shared" si="1"/>
        <v>Kitchen</v>
      </c>
      <c r="K4" s="5"/>
      <c r="L4" s="6"/>
      <c r="M4" s="5"/>
      <c r="N4" s="5"/>
      <c r="O4" s="5"/>
      <c r="P4" s="5"/>
      <c r="Q4" s="5"/>
      <c r="R4" s="5"/>
    </row>
    <row r="5" spans="1:18" ht="15.75" customHeight="1">
      <c r="A5" s="10" t="s">
        <v>18</v>
      </c>
      <c r="B5" s="8" t="s">
        <v>19</v>
      </c>
      <c r="C5" s="8" t="s">
        <v>20</v>
      </c>
      <c r="D5" s="8">
        <v>900</v>
      </c>
      <c r="E5" s="8">
        <f t="shared" si="0"/>
        <v>900</v>
      </c>
      <c r="F5" s="8">
        <v>25</v>
      </c>
      <c r="G5" s="8" t="s">
        <v>9</v>
      </c>
      <c r="H5" s="11" t="str">
        <f t="shared" si="1"/>
        <v>Electronics</v>
      </c>
      <c r="K5" s="5"/>
      <c r="L5" s="6"/>
      <c r="M5" s="5"/>
      <c r="N5" s="5"/>
      <c r="O5" s="5"/>
      <c r="P5" s="5"/>
      <c r="Q5" s="5"/>
      <c r="R5" s="5"/>
    </row>
    <row r="6" spans="1:18" ht="15.75" customHeight="1">
      <c r="A6" s="9" t="s">
        <v>21</v>
      </c>
      <c r="B6" s="7" t="s">
        <v>22</v>
      </c>
      <c r="C6" s="7" t="s">
        <v>23</v>
      </c>
      <c r="D6" s="7">
        <v>70</v>
      </c>
      <c r="E6" s="7">
        <f t="shared" si="0"/>
        <v>70</v>
      </c>
      <c r="F6" s="7">
        <v>20</v>
      </c>
      <c r="G6" s="7"/>
      <c r="H6" s="11" t="str">
        <f t="shared" si="1"/>
        <v>Unknown</v>
      </c>
    </row>
    <row r="7" spans="1:18" ht="15.75" customHeight="1">
      <c r="A7" s="10" t="s">
        <v>24</v>
      </c>
      <c r="B7" s="8" t="s">
        <v>25</v>
      </c>
      <c r="C7" s="8" t="s">
        <v>26</v>
      </c>
      <c r="D7" s="8"/>
      <c r="E7" s="17">
        <f t="shared" si="0"/>
        <v>593.84615384615381</v>
      </c>
      <c r="F7" s="8">
        <v>45</v>
      </c>
      <c r="G7" s="8" t="s">
        <v>9</v>
      </c>
      <c r="H7" s="11" t="str">
        <f t="shared" si="1"/>
        <v>Electronics</v>
      </c>
    </row>
    <row r="8" spans="1:18" ht="15.75" customHeight="1">
      <c r="A8" s="9" t="s">
        <v>28</v>
      </c>
      <c r="B8" s="7" t="s">
        <v>29</v>
      </c>
      <c r="C8" s="7" t="s">
        <v>30</v>
      </c>
      <c r="D8" s="7">
        <v>30</v>
      </c>
      <c r="E8" s="7">
        <f t="shared" si="0"/>
        <v>30</v>
      </c>
      <c r="F8" s="7">
        <v>5</v>
      </c>
      <c r="G8" s="7" t="s">
        <v>13</v>
      </c>
      <c r="H8" s="11" t="str">
        <f t="shared" si="1"/>
        <v>Fashion</v>
      </c>
    </row>
    <row r="9" spans="1:18" ht="15.75" customHeight="1">
      <c r="A9" s="10" t="s">
        <v>31</v>
      </c>
      <c r="B9" s="8" t="s">
        <v>32</v>
      </c>
      <c r="C9" s="8" t="s">
        <v>33</v>
      </c>
      <c r="D9" s="8">
        <v>90</v>
      </c>
      <c r="E9" s="8">
        <f t="shared" si="0"/>
        <v>90</v>
      </c>
      <c r="F9" s="8">
        <v>35</v>
      </c>
      <c r="G9" s="8" t="s">
        <v>17</v>
      </c>
      <c r="H9" s="11" t="str">
        <f t="shared" si="1"/>
        <v>Kitchen</v>
      </c>
    </row>
    <row r="10" spans="1:18" ht="15.75" customHeight="1">
      <c r="A10" s="9" t="s">
        <v>34</v>
      </c>
      <c r="B10" s="7" t="s">
        <v>35</v>
      </c>
      <c r="C10" s="7" t="s">
        <v>36</v>
      </c>
      <c r="D10" s="7">
        <v>500</v>
      </c>
      <c r="E10" s="7">
        <f t="shared" si="0"/>
        <v>500</v>
      </c>
      <c r="F10" s="7">
        <v>50</v>
      </c>
      <c r="G10" s="7" t="s">
        <v>9</v>
      </c>
      <c r="H10" s="11" t="str">
        <f t="shared" si="1"/>
        <v>Electronics</v>
      </c>
    </row>
    <row r="11" spans="1:18" ht="15.75" customHeight="1">
      <c r="A11" s="10" t="s">
        <v>37</v>
      </c>
      <c r="B11" s="8" t="s">
        <v>38</v>
      </c>
      <c r="C11" s="8" t="s">
        <v>39</v>
      </c>
      <c r="D11" s="8">
        <v>130</v>
      </c>
      <c r="E11" s="8">
        <f t="shared" si="0"/>
        <v>130</v>
      </c>
      <c r="F11" s="8">
        <v>10</v>
      </c>
      <c r="G11" s="8" t="s">
        <v>40</v>
      </c>
      <c r="H11" s="11" t="str">
        <f t="shared" si="1"/>
        <v>Outdoor</v>
      </c>
    </row>
    <row r="12" spans="1:18" ht="15.75" customHeight="1">
      <c r="A12" s="9" t="s">
        <v>41</v>
      </c>
      <c r="B12" s="7" t="s">
        <v>42</v>
      </c>
      <c r="C12" s="7" t="s">
        <v>43</v>
      </c>
      <c r="D12" s="7">
        <v>950</v>
      </c>
      <c r="E12" s="7">
        <f t="shared" si="0"/>
        <v>950</v>
      </c>
      <c r="F12" s="7">
        <v>25</v>
      </c>
      <c r="G12" s="7" t="s">
        <v>9</v>
      </c>
      <c r="H12" s="11" t="str">
        <f t="shared" si="1"/>
        <v>Electronics</v>
      </c>
    </row>
    <row r="13" spans="1:18" ht="15.75" customHeight="1">
      <c r="A13" s="10" t="s">
        <v>44</v>
      </c>
      <c r="B13" s="8" t="s">
        <v>11</v>
      </c>
      <c r="C13" s="8" t="s">
        <v>30</v>
      </c>
      <c r="D13" s="8">
        <v>90</v>
      </c>
      <c r="E13" s="8">
        <f t="shared" si="0"/>
        <v>90</v>
      </c>
      <c r="F13" s="8">
        <v>40</v>
      </c>
      <c r="G13" s="8"/>
      <c r="H13" s="11" t="str">
        <f t="shared" si="1"/>
        <v>Unknown</v>
      </c>
    </row>
    <row r="14" spans="1:18" ht="15.75" customHeight="1">
      <c r="A14" s="9" t="s">
        <v>45</v>
      </c>
      <c r="B14" s="7" t="s">
        <v>15</v>
      </c>
      <c r="C14" s="7" t="s">
        <v>46</v>
      </c>
      <c r="D14" s="7">
        <v>120</v>
      </c>
      <c r="E14" s="7">
        <f t="shared" si="0"/>
        <v>120</v>
      </c>
      <c r="F14" s="7">
        <v>35</v>
      </c>
      <c r="G14" s="7"/>
      <c r="H14" s="11" t="str">
        <f t="shared" si="1"/>
        <v>Unknown</v>
      </c>
    </row>
    <row r="15" spans="1:18" ht="15.75" customHeight="1">
      <c r="A15" s="10" t="s">
        <v>47</v>
      </c>
      <c r="B15" s="8" t="s">
        <v>48</v>
      </c>
      <c r="C15" s="8" t="s">
        <v>49</v>
      </c>
      <c r="D15" s="8">
        <v>150</v>
      </c>
      <c r="E15" s="8">
        <f t="shared" si="0"/>
        <v>150</v>
      </c>
      <c r="F15" s="8">
        <v>15</v>
      </c>
      <c r="G15" s="8" t="s">
        <v>9</v>
      </c>
      <c r="H15" s="11" t="str">
        <f t="shared" si="1"/>
        <v>Electronics</v>
      </c>
    </row>
    <row r="16" spans="1:18" ht="15.75" customHeight="1">
      <c r="A16" s="9" t="s">
        <v>50</v>
      </c>
      <c r="B16" s="7" t="s">
        <v>51</v>
      </c>
      <c r="C16" s="7" t="s">
        <v>52</v>
      </c>
      <c r="D16" s="7">
        <v>250</v>
      </c>
      <c r="E16" s="7">
        <f t="shared" si="0"/>
        <v>250</v>
      </c>
      <c r="F16" s="7">
        <v>20</v>
      </c>
      <c r="G16" s="7" t="s">
        <v>9</v>
      </c>
      <c r="H16" s="11" t="str">
        <f t="shared" si="1"/>
        <v>Electronics</v>
      </c>
    </row>
    <row r="17" spans="1:8" ht="15.75" customHeight="1">
      <c r="A17" s="10" t="s">
        <v>53</v>
      </c>
      <c r="B17" s="8" t="s">
        <v>54</v>
      </c>
      <c r="C17" s="8" t="s">
        <v>55</v>
      </c>
      <c r="D17" s="8">
        <v>50</v>
      </c>
      <c r="E17" s="8">
        <f t="shared" si="0"/>
        <v>50</v>
      </c>
      <c r="F17" s="8">
        <v>35</v>
      </c>
      <c r="G17" s="8" t="s">
        <v>56</v>
      </c>
      <c r="H17" s="11" t="str">
        <f t="shared" si="1"/>
        <v>Accessories</v>
      </c>
    </row>
    <row r="18" spans="1:8" ht="15.75" customHeight="1">
      <c r="A18" s="9" t="s">
        <v>57</v>
      </c>
      <c r="B18" s="7" t="s">
        <v>48</v>
      </c>
      <c r="C18" s="7" t="s">
        <v>58</v>
      </c>
      <c r="D18" s="7">
        <v>160</v>
      </c>
      <c r="E18" s="7">
        <f t="shared" si="0"/>
        <v>160</v>
      </c>
      <c r="F18" s="7">
        <v>15</v>
      </c>
      <c r="G18" s="7" t="s">
        <v>9</v>
      </c>
      <c r="H18" s="11" t="str">
        <f t="shared" si="1"/>
        <v>Electronics</v>
      </c>
    </row>
    <row r="19" spans="1:8" ht="15.75" customHeight="1">
      <c r="A19" s="10" t="s">
        <v>59</v>
      </c>
      <c r="B19" s="8" t="s">
        <v>7</v>
      </c>
      <c r="C19" s="8" t="s">
        <v>60</v>
      </c>
      <c r="D19" s="8">
        <v>980</v>
      </c>
      <c r="E19" s="8">
        <f t="shared" si="0"/>
        <v>980</v>
      </c>
      <c r="F19" s="8">
        <v>10</v>
      </c>
      <c r="G19" s="8" t="s">
        <v>9</v>
      </c>
      <c r="H19" s="11" t="str">
        <f t="shared" si="1"/>
        <v>Electronics</v>
      </c>
    </row>
    <row r="20" spans="1:8" ht="15.75" customHeight="1">
      <c r="A20" s="9" t="s">
        <v>61</v>
      </c>
      <c r="B20" s="7" t="s">
        <v>62</v>
      </c>
      <c r="C20" s="7" t="s">
        <v>63</v>
      </c>
      <c r="D20" s="7">
        <v>150</v>
      </c>
      <c r="E20" s="7">
        <f t="shared" si="0"/>
        <v>150</v>
      </c>
      <c r="F20" s="7">
        <v>15</v>
      </c>
      <c r="G20" s="7" t="s">
        <v>13</v>
      </c>
      <c r="H20" s="11" t="str">
        <f t="shared" si="1"/>
        <v>Fashion</v>
      </c>
    </row>
    <row r="21" spans="1:8" ht="15.75" customHeight="1">
      <c r="A21" s="10" t="s">
        <v>64</v>
      </c>
      <c r="B21" s="8" t="s">
        <v>65</v>
      </c>
      <c r="C21" s="8" t="s">
        <v>66</v>
      </c>
      <c r="D21" s="8"/>
      <c r="E21" s="8">
        <f t="shared" si="0"/>
        <v>130</v>
      </c>
      <c r="F21" s="8">
        <v>10</v>
      </c>
      <c r="G21" s="8" t="s">
        <v>40</v>
      </c>
      <c r="H21" s="11" t="str">
        <f t="shared" si="1"/>
        <v>Outdoor</v>
      </c>
    </row>
    <row r="22" spans="1:8" ht="15.75" customHeight="1">
      <c r="A22" s="9" t="s">
        <v>67</v>
      </c>
      <c r="B22" s="7" t="s">
        <v>68</v>
      </c>
      <c r="C22" s="7" t="s">
        <v>69</v>
      </c>
      <c r="D22" s="7">
        <v>700</v>
      </c>
      <c r="E22" s="7">
        <f t="shared" si="0"/>
        <v>700</v>
      </c>
      <c r="F22" s="7">
        <v>50</v>
      </c>
      <c r="G22" s="7" t="s">
        <v>9</v>
      </c>
      <c r="H22" s="11" t="str">
        <f t="shared" si="1"/>
        <v>Electronics</v>
      </c>
    </row>
    <row r="23" spans="1:8" ht="15.75" customHeight="1">
      <c r="A23" s="10" t="s">
        <v>70</v>
      </c>
      <c r="B23" s="8" t="s">
        <v>71</v>
      </c>
      <c r="C23" s="8" t="s">
        <v>72</v>
      </c>
      <c r="D23" s="8">
        <v>80</v>
      </c>
      <c r="E23" s="8">
        <f t="shared" si="0"/>
        <v>80</v>
      </c>
      <c r="F23" s="8">
        <v>20</v>
      </c>
      <c r="G23" s="8" t="s">
        <v>17</v>
      </c>
      <c r="H23" s="11" t="str">
        <f t="shared" si="1"/>
        <v>Kitchen</v>
      </c>
    </row>
    <row r="24" spans="1:8" ht="15.75" customHeight="1">
      <c r="A24" s="9" t="s">
        <v>73</v>
      </c>
      <c r="B24" s="7" t="s">
        <v>74</v>
      </c>
      <c r="C24" s="7" t="s">
        <v>75</v>
      </c>
      <c r="D24" s="7">
        <v>150</v>
      </c>
      <c r="E24" s="7">
        <f t="shared" si="0"/>
        <v>150</v>
      </c>
      <c r="F24" s="7">
        <v>30</v>
      </c>
      <c r="G24" s="7"/>
      <c r="H24" s="11" t="str">
        <f t="shared" si="1"/>
        <v>Unknown</v>
      </c>
    </row>
    <row r="25" spans="1:8" ht="15.75" customHeight="1">
      <c r="A25" s="10" t="s">
        <v>53</v>
      </c>
      <c r="B25" s="8" t="s">
        <v>54</v>
      </c>
      <c r="C25" s="8" t="s">
        <v>55</v>
      </c>
      <c r="D25" s="8">
        <v>50</v>
      </c>
      <c r="E25" s="8">
        <f t="shared" si="0"/>
        <v>50</v>
      </c>
      <c r="F25" s="8">
        <v>35</v>
      </c>
      <c r="G25" s="8" t="s">
        <v>56</v>
      </c>
      <c r="H25" s="11" t="str">
        <f t="shared" si="1"/>
        <v>Accessories</v>
      </c>
    </row>
    <row r="26" spans="1:8" ht="15.75" customHeight="1">
      <c r="A26" s="9" t="s">
        <v>76</v>
      </c>
      <c r="B26" s="7" t="s">
        <v>77</v>
      </c>
      <c r="C26" s="7" t="s">
        <v>78</v>
      </c>
      <c r="D26" s="7">
        <v>800</v>
      </c>
      <c r="E26" s="7">
        <f t="shared" si="0"/>
        <v>800</v>
      </c>
      <c r="F26" s="7">
        <v>45</v>
      </c>
      <c r="G26" s="7" t="s">
        <v>9</v>
      </c>
      <c r="H26" s="11" t="str">
        <f t="shared" si="1"/>
        <v>Electronics</v>
      </c>
    </row>
    <row r="27" spans="1:8" ht="15.75" customHeight="1">
      <c r="A27" s="10" t="s">
        <v>79</v>
      </c>
      <c r="B27" s="8" t="s">
        <v>62</v>
      </c>
      <c r="C27" s="8" t="s">
        <v>80</v>
      </c>
      <c r="D27" s="8"/>
      <c r="E27" s="8">
        <f t="shared" si="0"/>
        <v>74</v>
      </c>
      <c r="F27" s="8">
        <v>25</v>
      </c>
      <c r="G27" s="8" t="s">
        <v>13</v>
      </c>
      <c r="H27" s="11" t="str">
        <f t="shared" si="1"/>
        <v>Fashion</v>
      </c>
    </row>
    <row r="28" spans="1:8" ht="15.75" customHeight="1">
      <c r="A28" s="9" t="s">
        <v>81</v>
      </c>
      <c r="B28" s="7" t="s">
        <v>32</v>
      </c>
      <c r="C28" s="7" t="s">
        <v>82</v>
      </c>
      <c r="D28" s="7">
        <v>400</v>
      </c>
      <c r="E28" s="7">
        <f t="shared" si="0"/>
        <v>400</v>
      </c>
      <c r="F28" s="7">
        <v>40</v>
      </c>
      <c r="G28" s="7" t="s">
        <v>17</v>
      </c>
      <c r="H28" s="11" t="str">
        <f t="shared" si="1"/>
        <v>Kitchen</v>
      </c>
    </row>
    <row r="29" spans="1:8" ht="15.75" customHeight="1">
      <c r="A29" s="10" t="s">
        <v>50</v>
      </c>
      <c r="B29" s="8" t="s">
        <v>51</v>
      </c>
      <c r="C29" s="8" t="s">
        <v>52</v>
      </c>
      <c r="D29" s="8">
        <v>250</v>
      </c>
      <c r="E29" s="8">
        <f t="shared" si="0"/>
        <v>250</v>
      </c>
      <c r="F29" s="8">
        <v>20</v>
      </c>
      <c r="G29" s="8" t="s">
        <v>9</v>
      </c>
      <c r="H29" s="11" t="str">
        <f t="shared" si="1"/>
        <v>Electronics</v>
      </c>
    </row>
    <row r="30" spans="1:8" ht="15.75" customHeight="1">
      <c r="A30" s="9" t="s">
        <v>83</v>
      </c>
      <c r="B30" s="7" t="s">
        <v>84</v>
      </c>
      <c r="C30" s="7" t="s">
        <v>85</v>
      </c>
      <c r="D30" s="7">
        <v>60</v>
      </c>
      <c r="E30" s="7">
        <f t="shared" si="0"/>
        <v>60</v>
      </c>
      <c r="F30" s="7">
        <v>30</v>
      </c>
      <c r="G30" s="7" t="s">
        <v>13</v>
      </c>
      <c r="H30" s="11" t="str">
        <f t="shared" si="1"/>
        <v>Fashion</v>
      </c>
    </row>
    <row r="31" spans="1:8" ht="15.75" customHeight="1">
      <c r="A31" s="10" t="s">
        <v>86</v>
      </c>
      <c r="B31" s="8" t="s">
        <v>87</v>
      </c>
      <c r="C31" s="8" t="s">
        <v>88</v>
      </c>
      <c r="D31" s="8">
        <v>40</v>
      </c>
      <c r="E31" s="8">
        <f t="shared" si="0"/>
        <v>40</v>
      </c>
      <c r="F31" s="8">
        <v>10</v>
      </c>
      <c r="G31" s="8" t="s">
        <v>17</v>
      </c>
      <c r="H31" s="11" t="str">
        <f t="shared" si="1"/>
        <v>Kitchen</v>
      </c>
    </row>
    <row r="32" spans="1:8" ht="15.75" customHeight="1">
      <c r="A32" s="9" t="s">
        <v>89</v>
      </c>
      <c r="B32" s="7" t="s">
        <v>74</v>
      </c>
      <c r="C32" s="7" t="s">
        <v>90</v>
      </c>
      <c r="D32" s="7">
        <v>130</v>
      </c>
      <c r="E32" s="7">
        <f t="shared" si="0"/>
        <v>130</v>
      </c>
      <c r="F32" s="7">
        <v>5</v>
      </c>
      <c r="G32" s="7" t="s">
        <v>9</v>
      </c>
      <c r="H32" s="11" t="str">
        <f t="shared" si="1"/>
        <v>Electronics</v>
      </c>
    </row>
    <row r="33" spans="1:8" ht="15.75" customHeight="1">
      <c r="A33" s="10" t="s">
        <v>91</v>
      </c>
      <c r="B33" s="8" t="s">
        <v>92</v>
      </c>
      <c r="C33" s="8" t="s">
        <v>93</v>
      </c>
      <c r="D33" s="8">
        <v>50</v>
      </c>
      <c r="E33" s="8">
        <f t="shared" si="0"/>
        <v>50</v>
      </c>
      <c r="F33" s="8">
        <v>50</v>
      </c>
      <c r="G33" s="8" t="s">
        <v>13</v>
      </c>
      <c r="H33" s="11" t="str">
        <f t="shared" si="1"/>
        <v>Fashion</v>
      </c>
    </row>
    <row r="34" spans="1:8" ht="15.75" customHeight="1">
      <c r="A34" s="9" t="s">
        <v>41</v>
      </c>
      <c r="B34" s="7" t="s">
        <v>42</v>
      </c>
      <c r="C34" s="7" t="s">
        <v>43</v>
      </c>
      <c r="D34" s="7">
        <v>950</v>
      </c>
      <c r="E34" s="7">
        <f t="shared" si="0"/>
        <v>950</v>
      </c>
      <c r="F34" s="7">
        <v>25</v>
      </c>
      <c r="G34" s="7" t="s">
        <v>9</v>
      </c>
      <c r="H34" s="11" t="str">
        <f t="shared" si="1"/>
        <v>Electronics</v>
      </c>
    </row>
    <row r="35" spans="1:8" ht="15.75" customHeight="1">
      <c r="A35" s="15" t="s">
        <v>94</v>
      </c>
      <c r="B35" s="16" t="s">
        <v>95</v>
      </c>
      <c r="C35" s="16" t="s">
        <v>96</v>
      </c>
      <c r="D35" s="16">
        <v>100</v>
      </c>
      <c r="E35" s="16">
        <f t="shared" si="0"/>
        <v>100</v>
      </c>
      <c r="F35" s="16">
        <v>20</v>
      </c>
      <c r="G35" s="16" t="s">
        <v>56</v>
      </c>
      <c r="H35" s="11" t="str">
        <f t="shared" si="1"/>
        <v>Accessories</v>
      </c>
    </row>
    <row r="36" spans="1:8" ht="15.75" customHeight="1"/>
    <row r="37" spans="1:8" ht="15.75" customHeight="1"/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514E1-10AD-4A7F-B193-9B61E0FFB2C8}">
  <dimension ref="A1:H32"/>
  <sheetViews>
    <sheetView tabSelected="1" workbookViewId="0">
      <selection activeCell="K5" sqref="K5"/>
    </sheetView>
  </sheetViews>
  <sheetFormatPr defaultRowHeight="12.75"/>
  <cols>
    <col min="1" max="1" width="23.5703125" style="27" bestFit="1" customWidth="1"/>
    <col min="2" max="2" width="18" style="27" bestFit="1" customWidth="1"/>
    <col min="3" max="3" width="16.28515625" bestFit="1" customWidth="1"/>
    <col min="4" max="4" width="14.5703125" bestFit="1" customWidth="1"/>
    <col min="5" max="5" width="10.7109375" style="33" bestFit="1" customWidth="1"/>
    <col min="6" max="6" width="10.85546875" bestFit="1" customWidth="1"/>
    <col min="7" max="7" width="12.42578125" bestFit="1" customWidth="1"/>
    <col min="8" max="8" width="21.7109375" bestFit="1" customWidth="1"/>
  </cols>
  <sheetData>
    <row r="1" spans="1:8">
      <c r="A1" s="24" t="s">
        <v>99</v>
      </c>
      <c r="B1" s="28" t="s">
        <v>100</v>
      </c>
      <c r="C1" s="28" t="s">
        <v>1</v>
      </c>
      <c r="D1" s="28" t="s">
        <v>2</v>
      </c>
      <c r="E1" s="34" t="s">
        <v>3</v>
      </c>
      <c r="F1" s="28" t="s">
        <v>4</v>
      </c>
      <c r="G1" s="35" t="s">
        <v>5</v>
      </c>
      <c r="H1" s="36" t="s">
        <v>101</v>
      </c>
    </row>
    <row r="2" spans="1:8">
      <c r="A2" s="25">
        <v>46050</v>
      </c>
      <c r="B2" s="29" t="s">
        <v>102</v>
      </c>
      <c r="C2" s="18" t="s">
        <v>7</v>
      </c>
      <c r="D2" s="18" t="s">
        <v>8</v>
      </c>
      <c r="E2" s="31">
        <v>1000</v>
      </c>
      <c r="F2" s="19">
        <v>30</v>
      </c>
      <c r="G2" s="18" t="s">
        <v>9</v>
      </c>
      <c r="H2" s="20" t="s">
        <v>103</v>
      </c>
    </row>
    <row r="3" spans="1:8">
      <c r="A3" s="25">
        <v>46068</v>
      </c>
      <c r="B3" s="29" t="s">
        <v>102</v>
      </c>
      <c r="C3" s="18" t="s">
        <v>11</v>
      </c>
      <c r="D3" s="18" t="s">
        <v>12</v>
      </c>
      <c r="E3" s="31">
        <v>80</v>
      </c>
      <c r="F3" s="19">
        <v>15</v>
      </c>
      <c r="G3" s="18" t="s">
        <v>13</v>
      </c>
      <c r="H3" s="20" t="s">
        <v>104</v>
      </c>
    </row>
    <row r="4" spans="1:8">
      <c r="A4" s="25">
        <v>46084</v>
      </c>
      <c r="B4" s="29" t="s">
        <v>102</v>
      </c>
      <c r="C4" s="18" t="s">
        <v>15</v>
      </c>
      <c r="D4" s="18" t="s">
        <v>16</v>
      </c>
      <c r="E4" s="31">
        <v>130</v>
      </c>
      <c r="F4" s="19">
        <v>40</v>
      </c>
      <c r="G4" s="18" t="s">
        <v>17</v>
      </c>
      <c r="H4" s="20" t="s">
        <v>105</v>
      </c>
    </row>
    <row r="5" spans="1:8">
      <c r="A5" s="25">
        <v>46123</v>
      </c>
      <c r="B5" s="29" t="s">
        <v>102</v>
      </c>
      <c r="C5" s="18" t="s">
        <v>19</v>
      </c>
      <c r="D5" s="18" t="s">
        <v>20</v>
      </c>
      <c r="E5" s="31">
        <v>900</v>
      </c>
      <c r="F5" s="19">
        <v>25</v>
      </c>
      <c r="G5" s="18" t="s">
        <v>9</v>
      </c>
      <c r="H5" s="20" t="s">
        <v>106</v>
      </c>
    </row>
    <row r="6" spans="1:8">
      <c r="A6" s="25">
        <v>46164</v>
      </c>
      <c r="B6" s="29" t="s">
        <v>102</v>
      </c>
      <c r="C6" s="18" t="s">
        <v>22</v>
      </c>
      <c r="D6" s="18" t="s">
        <v>23</v>
      </c>
      <c r="E6" s="31">
        <v>70</v>
      </c>
      <c r="F6" s="19">
        <v>20</v>
      </c>
      <c r="G6" s="18" t="s">
        <v>107</v>
      </c>
      <c r="H6" s="20" t="s">
        <v>108</v>
      </c>
    </row>
    <row r="7" spans="1:8">
      <c r="A7" s="25">
        <v>46180</v>
      </c>
      <c r="B7" s="29" t="s">
        <v>109</v>
      </c>
      <c r="C7" s="18" t="s">
        <v>25</v>
      </c>
      <c r="D7" s="18" t="s">
        <v>26</v>
      </c>
      <c r="E7" s="31">
        <v>594</v>
      </c>
      <c r="F7" s="19">
        <v>45</v>
      </c>
      <c r="G7" s="18" t="s">
        <v>9</v>
      </c>
      <c r="H7" s="20" t="s">
        <v>110</v>
      </c>
    </row>
    <row r="8" spans="1:8">
      <c r="A8" s="25">
        <v>46222</v>
      </c>
      <c r="B8" s="29" t="s">
        <v>109</v>
      </c>
      <c r="C8" s="18" t="s">
        <v>29</v>
      </c>
      <c r="D8" s="18" t="s">
        <v>30</v>
      </c>
      <c r="E8" s="31">
        <v>30</v>
      </c>
      <c r="F8" s="19">
        <v>5</v>
      </c>
      <c r="G8" s="18" t="s">
        <v>13</v>
      </c>
      <c r="H8" s="20" t="s">
        <v>111</v>
      </c>
    </row>
    <row r="9" spans="1:8">
      <c r="A9" s="25">
        <v>46257</v>
      </c>
      <c r="B9" s="29" t="s">
        <v>109</v>
      </c>
      <c r="C9" s="18" t="s">
        <v>32</v>
      </c>
      <c r="D9" s="18" t="s">
        <v>33</v>
      </c>
      <c r="E9" s="31">
        <v>90</v>
      </c>
      <c r="F9" s="19">
        <v>35</v>
      </c>
      <c r="G9" s="18" t="s">
        <v>17</v>
      </c>
      <c r="H9" s="20" t="s">
        <v>112</v>
      </c>
    </row>
    <row r="10" spans="1:8">
      <c r="A10" s="25">
        <v>46270</v>
      </c>
      <c r="B10" s="29" t="s">
        <v>109</v>
      </c>
      <c r="C10" s="18" t="s">
        <v>35</v>
      </c>
      <c r="D10" s="18" t="s">
        <v>36</v>
      </c>
      <c r="E10" s="31">
        <v>500</v>
      </c>
      <c r="F10" s="19">
        <v>50</v>
      </c>
      <c r="G10" s="18" t="s">
        <v>9</v>
      </c>
      <c r="H10" s="20" t="s">
        <v>113</v>
      </c>
    </row>
    <row r="11" spans="1:8">
      <c r="A11" s="25">
        <v>46309</v>
      </c>
      <c r="B11" s="29" t="s">
        <v>109</v>
      </c>
      <c r="C11" s="18" t="s">
        <v>38</v>
      </c>
      <c r="D11" s="18" t="s">
        <v>39</v>
      </c>
      <c r="E11" s="31">
        <v>130</v>
      </c>
      <c r="F11" s="19">
        <v>10</v>
      </c>
      <c r="G11" s="18" t="s">
        <v>40</v>
      </c>
      <c r="H11" s="20" t="s">
        <v>114</v>
      </c>
    </row>
    <row r="12" spans="1:8">
      <c r="A12" s="25">
        <v>46190</v>
      </c>
      <c r="B12" s="29" t="s">
        <v>115</v>
      </c>
      <c r="C12" s="18" t="s">
        <v>42</v>
      </c>
      <c r="D12" s="18" t="s">
        <v>43</v>
      </c>
      <c r="E12" s="31">
        <v>950</v>
      </c>
      <c r="F12" s="19">
        <v>25</v>
      </c>
      <c r="G12" s="18" t="s">
        <v>9</v>
      </c>
      <c r="H12" s="20" t="s">
        <v>116</v>
      </c>
    </row>
    <row r="13" spans="1:8">
      <c r="A13" s="25">
        <v>46351</v>
      </c>
      <c r="B13" s="29" t="s">
        <v>117</v>
      </c>
      <c r="C13" s="18" t="s">
        <v>11</v>
      </c>
      <c r="D13" s="18" t="s">
        <v>30</v>
      </c>
      <c r="E13" s="31">
        <v>90</v>
      </c>
      <c r="F13" s="19">
        <v>40</v>
      </c>
      <c r="G13" s="18" t="s">
        <v>107</v>
      </c>
      <c r="H13" s="20" t="s">
        <v>118</v>
      </c>
    </row>
    <row r="14" spans="1:8">
      <c r="A14" s="25">
        <v>46364</v>
      </c>
      <c r="B14" s="29" t="s">
        <v>119</v>
      </c>
      <c r="C14" s="18" t="s">
        <v>15</v>
      </c>
      <c r="D14" s="18" t="s">
        <v>46</v>
      </c>
      <c r="E14" s="31">
        <v>120</v>
      </c>
      <c r="F14" s="19">
        <v>35</v>
      </c>
      <c r="G14" s="18" t="s">
        <v>107</v>
      </c>
      <c r="H14" s="20" t="s">
        <v>120</v>
      </c>
    </row>
    <row r="15" spans="1:8">
      <c r="A15" s="25">
        <v>46071</v>
      </c>
      <c r="B15" s="29" t="s">
        <v>121</v>
      </c>
      <c r="C15" s="18" t="s">
        <v>48</v>
      </c>
      <c r="D15" s="18" t="s">
        <v>49</v>
      </c>
      <c r="E15" s="31">
        <v>150</v>
      </c>
      <c r="F15" s="19">
        <v>15</v>
      </c>
      <c r="G15" s="18" t="s">
        <v>9</v>
      </c>
      <c r="H15" s="20" t="s">
        <v>122</v>
      </c>
    </row>
    <row r="16" spans="1:8">
      <c r="A16" s="25">
        <v>46128</v>
      </c>
      <c r="B16" s="29" t="s">
        <v>123</v>
      </c>
      <c r="C16" s="18" t="s">
        <v>51</v>
      </c>
      <c r="D16" s="18" t="s">
        <v>52</v>
      </c>
      <c r="E16" s="31">
        <v>250</v>
      </c>
      <c r="F16" s="19">
        <v>20</v>
      </c>
      <c r="G16" s="18" t="s">
        <v>9</v>
      </c>
      <c r="H16" s="20" t="s">
        <v>124</v>
      </c>
    </row>
    <row r="17" spans="1:8">
      <c r="A17" s="25">
        <v>46255</v>
      </c>
      <c r="B17" s="29" t="s">
        <v>121</v>
      </c>
      <c r="C17" s="18" t="s">
        <v>54</v>
      </c>
      <c r="D17" s="18" t="s">
        <v>55</v>
      </c>
      <c r="E17" s="31">
        <v>50</v>
      </c>
      <c r="F17" s="19">
        <v>35</v>
      </c>
      <c r="G17" s="18" t="s">
        <v>56</v>
      </c>
      <c r="H17" s="20" t="s">
        <v>125</v>
      </c>
    </row>
    <row r="18" spans="1:8">
      <c r="A18" s="25">
        <v>46254</v>
      </c>
      <c r="B18" s="29" t="s">
        <v>126</v>
      </c>
      <c r="C18" s="18" t="s">
        <v>48</v>
      </c>
      <c r="D18" s="18" t="s">
        <v>58</v>
      </c>
      <c r="E18" s="31">
        <v>160</v>
      </c>
      <c r="F18" s="19">
        <v>15</v>
      </c>
      <c r="G18" s="18" t="s">
        <v>9</v>
      </c>
      <c r="H18" s="20" t="s">
        <v>127</v>
      </c>
    </row>
    <row r="19" spans="1:8">
      <c r="A19" s="25">
        <v>46049</v>
      </c>
      <c r="B19" s="29" t="s">
        <v>128</v>
      </c>
      <c r="C19" s="18" t="s">
        <v>7</v>
      </c>
      <c r="D19" s="18" t="s">
        <v>60</v>
      </c>
      <c r="E19" s="31">
        <v>980</v>
      </c>
      <c r="F19" s="19">
        <v>10</v>
      </c>
      <c r="G19" s="18" t="s">
        <v>9</v>
      </c>
      <c r="H19" s="20" t="s">
        <v>129</v>
      </c>
    </row>
    <row r="20" spans="1:8">
      <c r="A20" s="25">
        <v>46082</v>
      </c>
      <c r="B20" s="29" t="s">
        <v>109</v>
      </c>
      <c r="C20" s="18" t="s">
        <v>62</v>
      </c>
      <c r="D20" s="18" t="s">
        <v>63</v>
      </c>
      <c r="E20" s="31">
        <v>150</v>
      </c>
      <c r="F20" s="19">
        <v>15</v>
      </c>
      <c r="G20" s="18" t="s">
        <v>13</v>
      </c>
      <c r="H20" s="20" t="s">
        <v>130</v>
      </c>
    </row>
    <row r="21" spans="1:8">
      <c r="A21" s="25">
        <v>46248</v>
      </c>
      <c r="B21" s="29" t="s">
        <v>102</v>
      </c>
      <c r="C21" s="18" t="s">
        <v>65</v>
      </c>
      <c r="D21" s="18" t="s">
        <v>66</v>
      </c>
      <c r="E21" s="31">
        <v>130</v>
      </c>
      <c r="F21" s="19">
        <v>10</v>
      </c>
      <c r="G21" s="18" t="s">
        <v>40</v>
      </c>
      <c r="H21" s="20" t="s">
        <v>131</v>
      </c>
    </row>
    <row r="22" spans="1:8">
      <c r="A22" s="25">
        <v>46156</v>
      </c>
      <c r="B22" s="29" t="s">
        <v>132</v>
      </c>
      <c r="C22" s="18" t="s">
        <v>68</v>
      </c>
      <c r="D22" s="18" t="s">
        <v>69</v>
      </c>
      <c r="E22" s="31">
        <v>700</v>
      </c>
      <c r="F22" s="19">
        <v>50</v>
      </c>
      <c r="G22" s="18" t="s">
        <v>9</v>
      </c>
      <c r="H22" s="20" t="s">
        <v>133</v>
      </c>
    </row>
    <row r="23" spans="1:8">
      <c r="A23" s="25">
        <v>46031</v>
      </c>
      <c r="B23" s="29" t="s">
        <v>121</v>
      </c>
      <c r="C23" s="18" t="s">
        <v>71</v>
      </c>
      <c r="D23" s="18" t="s">
        <v>72</v>
      </c>
      <c r="E23" s="31">
        <v>80</v>
      </c>
      <c r="F23" s="19">
        <v>20</v>
      </c>
      <c r="G23" s="18" t="s">
        <v>17</v>
      </c>
      <c r="H23" s="20" t="s">
        <v>134</v>
      </c>
    </row>
    <row r="24" spans="1:8">
      <c r="A24" s="25">
        <v>46222</v>
      </c>
      <c r="B24" s="29" t="s">
        <v>135</v>
      </c>
      <c r="C24" s="18" t="s">
        <v>74</v>
      </c>
      <c r="D24" s="18" t="s">
        <v>75</v>
      </c>
      <c r="E24" s="31">
        <v>150</v>
      </c>
      <c r="F24" s="19">
        <v>30</v>
      </c>
      <c r="G24" s="18" t="s">
        <v>107</v>
      </c>
      <c r="H24" s="20" t="s">
        <v>136</v>
      </c>
    </row>
    <row r="25" spans="1:8">
      <c r="A25" s="25">
        <v>46294</v>
      </c>
      <c r="B25" s="29" t="s">
        <v>121</v>
      </c>
      <c r="C25" s="18" t="s">
        <v>77</v>
      </c>
      <c r="D25" s="18" t="s">
        <v>78</v>
      </c>
      <c r="E25" s="31">
        <v>800</v>
      </c>
      <c r="F25" s="19">
        <v>45</v>
      </c>
      <c r="G25" s="18" t="s">
        <v>9</v>
      </c>
      <c r="H25" s="20" t="s">
        <v>137</v>
      </c>
    </row>
    <row r="26" spans="1:8">
      <c r="A26" s="25">
        <v>46176</v>
      </c>
      <c r="B26" s="29" t="s">
        <v>121</v>
      </c>
      <c r="C26" s="18" t="s">
        <v>62</v>
      </c>
      <c r="D26" s="18" t="s">
        <v>80</v>
      </c>
      <c r="E26" s="31">
        <v>74</v>
      </c>
      <c r="F26" s="19">
        <v>25</v>
      </c>
      <c r="G26" s="18" t="s">
        <v>13</v>
      </c>
      <c r="H26" s="20" t="s">
        <v>138</v>
      </c>
    </row>
    <row r="27" spans="1:8">
      <c r="A27" s="25">
        <v>46214</v>
      </c>
      <c r="B27" s="29" t="s">
        <v>121</v>
      </c>
      <c r="C27" s="18" t="s">
        <v>32</v>
      </c>
      <c r="D27" s="18" t="s">
        <v>82</v>
      </c>
      <c r="E27" s="31">
        <v>400</v>
      </c>
      <c r="F27" s="19">
        <v>40</v>
      </c>
      <c r="G27" s="18" t="s">
        <v>17</v>
      </c>
      <c r="H27" s="20" t="s">
        <v>139</v>
      </c>
    </row>
    <row r="28" spans="1:8">
      <c r="A28" s="25">
        <v>46088</v>
      </c>
      <c r="B28" s="29" t="s">
        <v>121</v>
      </c>
      <c r="C28" s="18" t="s">
        <v>84</v>
      </c>
      <c r="D28" s="18" t="s">
        <v>85</v>
      </c>
      <c r="E28" s="31">
        <v>60</v>
      </c>
      <c r="F28" s="19">
        <v>30</v>
      </c>
      <c r="G28" s="18" t="s">
        <v>13</v>
      </c>
      <c r="H28" s="20" t="s">
        <v>140</v>
      </c>
    </row>
    <row r="29" spans="1:8">
      <c r="A29" s="25">
        <v>46125</v>
      </c>
      <c r="B29" s="29" t="s">
        <v>121</v>
      </c>
      <c r="C29" s="18" t="s">
        <v>87</v>
      </c>
      <c r="D29" s="18" t="s">
        <v>88</v>
      </c>
      <c r="E29" s="31">
        <v>40</v>
      </c>
      <c r="F29" s="19">
        <v>10</v>
      </c>
      <c r="G29" s="18" t="s">
        <v>17</v>
      </c>
      <c r="H29" s="20" t="s">
        <v>141</v>
      </c>
    </row>
    <row r="30" spans="1:8">
      <c r="A30" s="25">
        <v>46166</v>
      </c>
      <c r="B30" s="29" t="s">
        <v>121</v>
      </c>
      <c r="C30" s="18" t="s">
        <v>74</v>
      </c>
      <c r="D30" s="18" t="s">
        <v>90</v>
      </c>
      <c r="E30" s="31">
        <v>130</v>
      </c>
      <c r="F30" s="19">
        <v>5</v>
      </c>
      <c r="G30" s="18" t="s">
        <v>9</v>
      </c>
      <c r="H30" s="20" t="s">
        <v>142</v>
      </c>
    </row>
    <row r="31" spans="1:8">
      <c r="A31" s="25">
        <v>46358</v>
      </c>
      <c r="B31" s="29" t="s">
        <v>121</v>
      </c>
      <c r="C31" s="18" t="s">
        <v>92</v>
      </c>
      <c r="D31" s="18" t="s">
        <v>93</v>
      </c>
      <c r="E31" s="31">
        <v>50</v>
      </c>
      <c r="F31" s="19">
        <v>50</v>
      </c>
      <c r="G31" s="18" t="s">
        <v>13</v>
      </c>
      <c r="H31" s="20" t="s">
        <v>143</v>
      </c>
    </row>
    <row r="32" spans="1:8">
      <c r="A32" s="26">
        <v>46212</v>
      </c>
      <c r="B32" s="30" t="s">
        <v>144</v>
      </c>
      <c r="C32" s="21" t="s">
        <v>95</v>
      </c>
      <c r="D32" s="21" t="s">
        <v>96</v>
      </c>
      <c r="E32" s="32">
        <v>100</v>
      </c>
      <c r="F32" s="22">
        <v>20</v>
      </c>
      <c r="G32" s="21" t="s">
        <v>56</v>
      </c>
      <c r="H32" s="23" t="s">
        <v>145</v>
      </c>
    </row>
  </sheetData>
  <conditionalFormatting sqref="E1:E104857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{A69565D1-F34D-47DD-BCEB-68A314BEC6A6}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9565D1-F34D-47DD-BCEB-68A314BEC6A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containsText" priority="1" operator="containsText" id="{E7FC8101-C5A3-4A32-A952-0AAA049324E4}">
            <xm:f>NOT(ISERROR(SEARCH($G$2,G1)))</xm:f>
            <xm:f>$G$2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G1:G1048576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04BDFE-CD78-46AD-9101-2FACDB4BFD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Dataset</vt:lpstr>
      <vt:lpstr>Assignment 2</vt:lpstr>
      <vt:lpstr>Power 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Ravi</dc:creator>
  <cp:lastModifiedBy>Bharath</cp:lastModifiedBy>
  <dcterms:created xsi:type="dcterms:W3CDTF">2026-07-23T14:43:37Z</dcterms:created>
  <dcterms:modified xsi:type="dcterms:W3CDTF">2026-09-25T16:28:53Z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